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d210d1111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i" sheetId="1" r:id="Rc660da8f2ed94390"/>
    <x:sheet xmlns:r="http://schemas.openxmlformats.org/officeDocument/2006/relationships" name="Riepilogo" sheetId="2" r:id="R94503ddc13974a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5d7838d0e44ba" /><Relationship Type="http://schemas.openxmlformats.org/officeDocument/2006/relationships/theme" Target="/xl/theme/theme1.xml" Id="R4e77352531c84c41" /><Relationship Type="http://schemas.openxmlformats.org/officeDocument/2006/relationships/sharedStrings" Target="/xl/sharedStrings.xml" Id="R9581c0c154434690" /><Relationship Type="http://schemas.openxmlformats.org/officeDocument/2006/relationships/worksheet" Target="/xl/worksheets/sheet1.xml" Id="Rc660da8f2ed94390" /><Relationship Type="http://schemas.openxmlformats.org/officeDocument/2006/relationships/worksheet" Target="/xl/worksheets/sheet2.xml" Id="R94503ddc13974a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6" hidden="0" customWidth="1"/>
    <x:col min="8" max="8" width="10" hidden="0" customWidth="1"/>
    <x:col min="9" max="9" width="12" hidden="0" customWidth="1"/>
    <x:col min="10" max="10" width="14" hidden="0" customWidth="1"/>
    <x:col min="11" max="11" width="18" hidden="0" customWidth="1"/>
    <x:col min="12" max="12" width="10" hidden="0" customWidth="1"/>
    <x:col min="13" max="13" width="11" hidden="0" customWidth="1"/>
    <x:col min="14" max="14" width="8" hidden="0" customWidth="1"/>
  </x:cols>
  <x:sheetData>
    <x:row r="1">
      <x:c r="A1" s="16" t="str">
        <x:v>Candidato</x:v>
      </x:c>
      <x:c r="B1" s="16" t="str">
        <x:v>Laurea inerente</x:v>
      </x:c>
      <x:c r="C1" s="16" t="str">
        <x:v>Esami inerenti</x:v>
      </x:c>
      <x:c r="D1" s="16" t="str">
        <x:v>Graduation</x:v>
      </x:c>
      <x:c r="E1" s="16" t="str">
        <x:v>G POINT</x:v>
      </x:c>
      <x:c r="F1" s="16" t="str">
        <x:v>tot titoli</x:v>
      </x:c>
      <x:c r="G1" s="16" t="str">
        <x:v>Periodo estero</x:v>
      </x:c>
      <x:c r="H1" s="16" t="str">
        <x:v>europeo</x:v>
      </x:c>
      <x:c r="I1" s="16" t="str">
        <x:v>conferenze</x:v>
      </x:c>
      <x:c r="J1" s="16" t="str">
        <x:v>Lettera (Max 5)</x:v>
      </x:c>
      <x:c r="K1" s="16" t="str">
        <x:v>recommendation letter</x:v>
      </x:c>
      <x:c r="L1" s="16" t="str">
        <x:v>Disabilità</x:v>
      </x:c>
      <x:c r="M1" s="16" t="str">
        <x:v>totale CV</x:v>
      </x:c>
      <x:c r="N1" s="16" t="str">
        <x:v>TOT</x:v>
      </x:c>
    </x:row>
    <x:row r="2">
      <x:c r="A2" s="17" t="str">
        <x:v>Criterio</x:v>
      </x:c>
      <x:c r="B2" s="17" t="str">
        <x:v>Se ing o psi 15, altrimenti 5</x:v>
      </x:c>
      <x:c r="C2" s="17" t="str">
        <x:v>1 x ogni esame di settore</x:v>
      </x:c>
      <x:c r="D2" s="17" t="str">
        <x:v>100: 3 punti; 80-90: 70-80</x:v>
      </x:c>
      <x:c r="E2" s="17" t="str">
        <x:v>se D 3 se M 0</x:v>
      </x:c>
      <x:c r="F2" s="17" t="str">
        <x:v>Somma B:E</x:v>
      </x:c>
      <x:c r="G2" s="17" t="str">
        <x:v>Se estero 10 se locale 5</x:v>
      </x:c>
      <x:c r="H2" s="17" t="str">
        <x:v>5 se sì 0 se no</x:v>
      </x:c>
      <x:c r="I2" s="17" t="str">
        <x:v>5 ciascuna naz, 10 intern</x:v>
      </x:c>
      <x:c r="J2" s="17" t="str">
        <x:v>Max 5</x:v>
      </x:c>
      <x:c r="K2" s="17" t="str"/>
      <x:c r="L2" s="17" t="str"/>
      <x:c r="M2" s="17" t="str">
        <x:v>Somma G:L</x:v>
      </x:c>
      <x:c r="N2" s="17" t="str">
        <x:v>Somma F+M</x:v>
      </x:c>
    </x:row>
    <x:row r="3">
      <x:c r="A3" s="22" t="str">
        <x:v>AWAD-DIMA</x:v>
      </x:c>
      <x:c r="B3" s="18" t="n">
        <x:v>15</x:v>
      </x:c>
      <x:c r="C3" s="18" t="n">
        <x:v>16</x:v>
      </x:c>
      <x:c r="D3" s="18" t="n">
        <x:v>1</x:v>
      </x:c>
      <x:c r="E3" s="18" t="n">
        <x:v>0</x:v>
      </x:c>
      <x:c r="F3" s="18" t="n">
        <x:f>SUM(B3:E3)</x:f>
        <x:v>32</x:v>
      </x:c>
      <x:c r="G3" s="18" t="n">
        <x:v>5</x:v>
      </x:c>
      <x:c r="H3" s="18" t="n">
        <x:v>0</x:v>
      </x:c>
      <x:c r="I3" s="18" t="n">
        <x:v>2</x:v>
      </x:c>
      <x:c r="J3" s="18" t="n">
        <x:v>0</x:v>
      </x:c>
      <x:c r="K3" s="18" t="n">
        <x:v>0</x:v>
      </x:c>
      <x:c r="L3" s="18" t="n">
        <x:v>0</x:v>
      </x:c>
      <x:c r="M3" s="18" t="n">
        <x:f>SUM(G3:L3)</x:f>
        <x:v>7</x:v>
      </x:c>
      <x:c r="N3" s="18" t="n">
        <x:f>F3+M3</x:f>
        <x:v>39</x:v>
      </x:c>
    </x:row>
    <x:row r="4">
      <x:c r="A4" s="22" t="str">
        <x:v>AHMED-HADI</x:v>
      </x:c>
      <x:c r="B4" s="18" t="n">
        <x:v>15</x:v>
      </x:c>
      <x:c r="C4" s="18" t="n">
        <x:v>10</x:v>
      </x:c>
      <x:c r="D4" s="18" t="n">
        <x:v>3</x:v>
      </x:c>
      <x:c r="E4" s="18" t="n">
        <x:v>0</x:v>
      </x:c>
      <x:c r="F4" s="18" t="n">
        <x:f>SUM(B4:E4)</x:f>
        <x:v>28</x:v>
      </x:c>
      <x:c r="G4" s="18" t="n">
        <x:v>0</x:v>
      </x:c>
      <x:c r="H4" s="18" t="n">
        <x:v>0</x:v>
      </x:c>
      <x:c r="I4" s="18" t="n">
        <x:v>7</x:v>
      </x:c>
      <x:c r="J4" s="18" t="n">
        <x:v>0</x:v>
      </x:c>
      <x:c r="K4" s="18" t="n">
        <x:v>0</x:v>
      </x:c>
      <x:c r="L4" s="18" t="n">
        <x:v>0</x:v>
      </x:c>
      <x:c r="M4" s="18" t="n">
        <x:f>SUM(G4:L4)</x:f>
        <x:v>7</x:v>
      </x:c>
      <x:c r="N4" s="18" t="n">
        <x:f>F4+M4</x:f>
        <x:v>35</x:v>
      </x:c>
    </x:row>
    <x:row r="5">
      <x:c r="A5" s="22" t="str">
        <x:v>FARAH-WISSAM</x:v>
      </x:c>
      <x:c r="B5" s="18" t="n">
        <x:v>15</x:v>
      </x:c>
      <x:c r="C5" s="18" t="n">
        <x:v>1</x:v>
      </x:c>
      <x:c r="D5" s="18" t="n">
        <x:v>3</x:v>
      </x:c>
      <x:c r="E5" s="18" t="n">
        <x:v>3</x:v>
      </x:c>
      <x:c r="F5" s="18" t="n">
        <x:f>SUM(B5:E5)</x:f>
        <x:v>22</x:v>
      </x:c>
      <x:c r="G5" s="18" t="n">
        <x:v>0</x:v>
      </x:c>
      <x:c r="H5" s="18" t="n">
        <x:v>5</x:v>
      </x:c>
      <x:c r="I5" s="18" t="n">
        <x:v>5</x:v>
      </x:c>
      <x:c r="J5" s="18" t="n">
        <x:v>1</x:v>
      </x:c>
      <x:c r="K5" s="18" t="n">
        <x:v>0</x:v>
      </x:c>
      <x:c r="L5" s="18" t="n">
        <x:v>0</x:v>
      </x:c>
      <x:c r="M5" s="18" t="n">
        <x:f>SUM(G5:L5)</x:f>
        <x:v>11</x:v>
      </x:c>
      <x:c r="N5" s="18" t="n">
        <x:f>F5+M5</x:f>
        <x:v>33</x:v>
      </x:c>
    </x:row>
    <x:row r="6">
      <x:c r="A6" s="22" t="str">
        <x:v>DAVID-RIM</x:v>
      </x:c>
      <x:c r="B6" s="18" t="n">
        <x:v>15</x:v>
      </x:c>
      <x:c r="C6" s="18" t="n">
        <x:v>1</x:v>
      </x:c>
      <x:c r="D6" s="18" t="n">
        <x:v>0</x:v>
      </x:c>
      <x:c r="E6" s="18" t="n">
        <x:v>3</x:v>
      </x:c>
      <x:c r="F6" s="18" t="n">
        <x:f>SUM(B6:E6)</x:f>
        <x:v>19</x:v>
      </x:c>
      <x:c r="G6" s="18" t="n">
        <x:v>0</x:v>
      </x:c>
      <x:c r="H6" s="18" t="n">
        <x:v>0</x:v>
      </x:c>
      <x:c r="I6" s="18" t="n">
        <x:v>3</x:v>
      </x:c>
      <x:c r="J6" s="18" t="n">
        <x:v>3</x:v>
      </x:c>
      <x:c r="K6" s="18" t="n">
        <x:v>1</x:v>
      </x:c>
      <x:c r="L6" s="18" t="n">
        <x:v>0</x:v>
      </x:c>
      <x:c r="M6" s="18" t="n">
        <x:f>SUM(G6:L6)</x:f>
        <x:v>7</x:v>
      </x:c>
      <x:c r="N6" s="18" t="n">
        <x:f>F6+M6</x:f>
        <x:v>26</x:v>
      </x:c>
    </x:row>
    <x:row r="7">
      <x:c r="A7" s="22" t="str">
        <x:v>MAHMOUD-BASIM</x:v>
      </x:c>
      <x:c r="B7" s="18" t="n">
        <x:v>15</x:v>
      </x:c>
      <x:c r="C7" s="18" t="n">
        <x:v>11</x:v>
      </x:c>
      <x:c r="D7" s="18" t="n">
        <x:v>0</x:v>
      </x:c>
      <x:c r="E7" s="18" t="n">
        <x:v>0</x:v>
      </x:c>
      <x:c r="F7" s="18" t="n">
        <x:f>SUM(B7:E7)</x:f>
        <x:v>26</x:v>
      </x:c>
      <x:c r="G7" s="18" t="n">
        <x:v>0</x:v>
      </x:c>
      <x:c r="H7" s="18" t="n">
        <x:v>0</x:v>
      </x:c>
      <x:c r="I7" s="18" t="n">
        <x:v>1</x:v>
      </x:c>
      <x:c r="J7" s="18" t="n">
        <x:v>0</x:v>
      </x:c>
      <x:c r="K7" s="18" t="n">
        <x:v>2</x:v>
      </x:c>
      <x:c r="L7" s="18" t="n">
        <x:v>0</x:v>
      </x:c>
      <x:c r="M7" s="18" t="n">
        <x:f>SUM(G7:L7)</x:f>
        <x:v>3</x:v>
      </x:c>
      <x:c r="N7" s="18" t="n">
        <x:f>F7+M7</x:f>
        <x:v>29</x:v>
      </x:c>
    </x:row>
    <x:row r="8">
      <x:c r="A8" s="22" t="str">
        <x:v>OMAR-YOUSEF</x:v>
      </x:c>
      <x:c r="B8" s="18" t="n">
        <x:v>15</x:v>
      </x:c>
      <x:c r="C8" s="18" t="n">
        <x:v>12</x:v>
      </x:c>
      <x:c r="D8" s="18" t="n">
        <x:v>1</x:v>
      </x:c>
      <x:c r="E8" s="18" t="n">
        <x:v>0</x:v>
      </x:c>
      <x:c r="F8" s="18" t="n">
        <x:f>SUM(B8:E8)</x:f>
        <x:v>28</x:v>
      </x:c>
      <x:c r="G8" s="18" t="n">
        <x:v>0</x:v>
      </x:c>
      <x:c r="H8" s="18" t="n">
        <x:v>0</x:v>
      </x:c>
      <x:c r="I8" s="18" t="n">
        <x:v>15</x:v>
      </x:c>
      <x:c r="J8" s="18" t="n">
        <x:v>1</x:v>
      </x:c>
      <x:c r="K8" s="18" t="n">
        <x:v>2</x:v>
      </x:c>
      <x:c r="L8" s="18" t="n">
        <x:v>0</x:v>
      </x:c>
      <x:c r="M8" s="18" t="n">
        <x:f>SUM(G8:L8)</x:f>
        <x:v>18</x:v>
      </x:c>
      <x:c r="N8" s="18" t="n">
        <x:f>F8+M8</x:f>
        <x:v>46</x:v>
      </x:c>
    </x:row>
    <x:row r="9">
      <x:c r="A9" s="22" t="str">
        <x:v>JABER-ZAINA</x:v>
      </x:c>
      <x:c r="B9" s="18" t="n">
        <x:v>15</x:v>
      </x:c>
      <x:c r="C9" s="18" t="n">
        <x:v>19</x:v>
      </x:c>
      <x:c r="D9" s="18" t="n">
        <x:v>5</x:v>
      </x:c>
      <x:c r="E9" s="18" t="n">
        <x:v>0</x:v>
      </x:c>
      <x:c r="F9" s="18" t="n">
        <x:f>SUM(B9:E9)</x:f>
        <x:v>39</x:v>
      </x:c>
      <x:c r="G9" s="18" t="n">
        <x:v>0</x:v>
      </x:c>
      <x:c r="H9" s="18" t="n">
        <x:v>0</x:v>
      </x:c>
      <x:c r="I9" s="18" t="n">
        <x:v>8</x:v>
      </x:c>
      <x:c r="J9" s="18" t="n">
        <x:v>5</x:v>
      </x:c>
      <x:c r="K9" s="18" t="n">
        <x:v>0</x:v>
      </x:c>
      <x:c r="L9" s="18" t="n">
        <x:v>0</x:v>
      </x:c>
      <x:c r="M9" s="18" t="n">
        <x:f>SUM(G9:L9)</x:f>
        <x:v>13</x:v>
      </x:c>
      <x:c r="N9" s="18" t="n">
        <x:f>F9+M9</x:f>
        <x:v>52</x:v>
      </x:c>
    </x:row>
    <x:row r="10">
      <x:c r="A10" s="22" t="str">
        <x:v>GEORGE-RIM</x:v>
      </x:c>
      <x:c r="B10" s="18" t="n">
        <x:v>15</x:v>
      </x:c>
      <x:c r="C10" s="18" t="n">
        <x:v>2</x:v>
      </x:c>
      <x:c r="D10" s="18" t="n">
        <x:v>0</x:v>
      </x:c>
      <x:c r="E10" s="18" t="n">
        <x:v>3</x:v>
      </x:c>
      <x:c r="F10" s="18" t="n">
        <x:f>SUM(B10:E10)</x:f>
        <x:v>20</x:v>
      </x:c>
      <x:c r="G10" s="18" t="n">
        <x:v>0</x:v>
      </x:c>
      <x:c r="H10" s="18" t="n">
        <x:v>0</x:v>
      </x:c>
      <x:c r="I10" s="18" t="n">
        <x:v>9</x:v>
      </x:c>
      <x:c r="J10" s="18" t="n">
        <x:v>4</x:v>
      </x:c>
      <x:c r="K10" s="18" t="n">
        <x:v>0</x:v>
      </x:c>
      <x:c r="L10" s="18" t="n">
        <x:v>0</x:v>
      </x:c>
      <x:c r="M10" s="18" t="n">
        <x:f>SUM(G10:L10)</x:f>
        <x:v>13</x:v>
      </x:c>
      <x:c r="N10" s="18" t="n">
        <x:f>F10+M10</x:f>
        <x:v>33</x:v>
      </x:c>
    </x:row>
    <x:row r="11">
      <x:c r="A11" s="22" t="str">
        <x:v>IBRAHIM-AMIRA</x:v>
      </x:c>
      <x:c r="B11" s="18" t="n">
        <x:v>15</x:v>
      </x:c>
      <x:c r="C11" s="18" t="n">
        <x:v>2</x:v>
      </x:c>
      <x:c r="D11" s="18" t="n">
        <x:v>3</x:v>
      </x:c>
      <x:c r="E11" s="18" t="n">
        <x:v>3</x:v>
      </x:c>
      <x:c r="F11" s="18" t="n">
        <x:f>SUM(B11:E11)</x:f>
        <x:v>23</x:v>
      </x:c>
      <x:c r="G11" s="18" t="n">
        <x:v>0</x:v>
      </x:c>
      <x:c r="H11" s="18" t="n">
        <x:v>0</x:v>
      </x:c>
      <x:c r="I11" s="18" t="n">
        <x:v>5</x:v>
      </x:c>
      <x:c r="J11" s="18" t="n">
        <x:v>2</x:v>
      </x:c>
      <x:c r="K11" s="18" t="n">
        <x:v>1</x:v>
      </x:c>
      <x:c r="L11" s="18" t="n">
        <x:v>2</x:v>
      </x:c>
      <x:c r="M11" s="18" t="n">
        <x:f>SUM(G11:L11)</x:f>
        <x:v>10</x:v>
      </x:c>
      <x:c r="N11" s="18" t="n">
        <x:f>F11+M11</x:f>
        <x:v>33</x:v>
      </x:c>
    </x:row>
    <x:row r="12">
      <x:c r="A12" s="22" t="str">
        <x:v>MURAD-JAMIL</x:v>
      </x:c>
      <x:c r="B12" s="18" t="n">
        <x:v>15</x:v>
      </x:c>
      <x:c r="C12" s="18" t="n">
        <x:v>2</x:v>
      </x:c>
      <x:c r="D12" s="18" t="n">
        <x:v>3</x:v>
      </x:c>
      <x:c r="E12" s="18" t="n">
        <x:v>0</x:v>
      </x:c>
      <x:c r="F12" s="18" t="n">
        <x:f>SUM(B12:E12)</x:f>
        <x:v>20</x:v>
      </x:c>
      <x:c r="G12" s="18" t="n">
        <x:v>0</x:v>
      </x:c>
      <x:c r="H12" s="18" t="n">
        <x:v>0</x:v>
      </x:c>
      <x:c r="I12" s="18" t="n">
        <x:v>8</x:v>
      </x:c>
      <x:c r="J12" s="18" t="n">
        <x:v>1</x:v>
      </x:c>
      <x:c r="K12" s="18" t="n">
        <x:v>0</x:v>
      </x:c>
      <x:c r="L12" s="18" t="n">
        <x:v>2</x:v>
      </x:c>
      <x:c r="M12" s="18" t="n">
        <x:f>SUM(G12:L12)</x:f>
        <x:v>11</x:v>
      </x:c>
      <x:c r="N12" s="18" t="n">
        <x:f>F12+M12</x:f>
        <x:v>31</x:v>
      </x:c>
    </x:row>
    <x:row r="13">
      <x:c r="A13" s="22" t="str">
        <x:v>ELIAS-MERSHA</x:v>
      </x:c>
      <x:c r="B13" s="18" t="n">
        <x:v>15</x:v>
      </x:c>
      <x:c r="C13" s="18" t="n">
        <x:v>14</x:v>
      </x:c>
      <x:c r="D13" s="18" t="n">
        <x:v>1</x:v>
      </x:c>
      <x:c r="E13" s="18" t="n">
        <x:v>0</x:v>
      </x:c>
      <x:c r="F13" s="18" t="n">
        <x:f>SUM(B13:E13)</x:f>
        <x:v>30</x:v>
      </x:c>
      <x:c r="G13" s="18" t="n">
        <x:v>10</x:v>
      </x:c>
      <x:c r="H13" s="18" t="n">
        <x:v>0</x:v>
      </x:c>
      <x:c r="I13" s="18" t="n">
        <x:v>2</x:v>
      </x:c>
      <x:c r="J13" s="18" t="n">
        <x:v>5</x:v>
      </x:c>
      <x:c r="K13" s="18" t="n">
        <x:v>2</x:v>
      </x:c>
      <x:c r="L13" s="18" t="n">
        <x:v>0</x:v>
      </x:c>
      <x:c r="M13" s="18" t="n">
        <x:f>SUM(G13:L13)</x:f>
        <x:v>19</x:v>
      </x:c>
      <x:c r="N13" s="18" t="n">
        <x:f>F13+M13</x:f>
        <x:v>49</x:v>
      </x:c>
    </x:row>
    <x:row r="14">
      <x:c r="A14" s="22" t="str">
        <x:v>ABUASAKER-JALAL</x:v>
      </x:c>
      <x:c r="B14" s="18" t="n">
        <x:v>15</x:v>
      </x:c>
      <x:c r="C14" s="18" t="n">
        <x:v>4</x:v>
      </x:c>
      <x:c r="D14" s="18" t="n">
        <x:v>2</x:v>
      </x:c>
      <x:c r="E14" s="18" t="n">
        <x:v>0</x:v>
      </x:c>
      <x:c r="F14" s="18" t="n">
        <x:f>SUM(B14:E14)</x:f>
        <x:v>21</x:v>
      </x:c>
      <x:c r="G14" s="18" t="n">
        <x:v>10</x:v>
      </x:c>
      <x:c r="H14" s="18" t="n">
        <x:v>0</x:v>
      </x:c>
      <x:c r="I14" s="18" t="n">
        <x:v>3</x:v>
      </x:c>
      <x:c r="J14" s="18" t="n">
        <x:v>2</x:v>
      </x:c>
      <x:c r="K14" s="18" t="n">
        <x:v>1</x:v>
      </x:c>
      <x:c r="L14" s="18" t="n">
        <x:v>0</x:v>
      </x:c>
      <x:c r="M14" s="18" t="n">
        <x:f>SUM(G14:L14)</x:f>
        <x:v>16</x:v>
      </x:c>
      <x:c r="N14" s="18" t="n">
        <x:f>F14+M14</x:f>
        <x:v>37</x:v>
      </x:c>
    </x:row>
    <x:row r="15">
      <x:c r="A15" s="22" t="str">
        <x:v>ZAID-DIREB</x:v>
      </x:c>
      <x:c r="B15" s="18" t="n">
        <x:v>15</x:v>
      </x:c>
      <x:c r="C15" s="18" t="n">
        <x:v>10</x:v>
      </x:c>
      <x:c r="D15" s="18" t="n">
        <x:v>3</x:v>
      </x:c>
      <x:c r="E15" s="18" t="n">
        <x:v>0</x:v>
      </x:c>
      <x:c r="F15" s="18" t="n">
        <x:f>SUM(B15:E15)</x:f>
        <x:v>28</x:v>
      </x:c>
      <x:c r="G15" s="18" t="n">
        <x:v>10</x:v>
      </x:c>
      <x:c r="H15" s="18" t="n">
        <x:v>0</x:v>
      </x:c>
      <x:c r="I15" s="18" t="n">
        <x:v>7</x:v>
      </x:c>
      <x:c r="J15" s="18" t="n">
        <x:v>1</x:v>
      </x:c>
      <x:c r="K15" s="18" t="n">
        <x:v>0</x:v>
      </x:c>
      <x:c r="L15" s="18" t="n">
        <x:v>0</x:v>
      </x:c>
      <x:c r="M15" s="18" t="n">
        <x:f>SUM(G15:L15)</x:f>
        <x:v>18</x:v>
      </x:c>
      <x:c r="N15" s="18" t="n">
        <x:f>F15+M15</x:f>
        <x:v>46</x:v>
      </x:c>
    </x:row>
    <x:row r="16">
      <x:c r="A16" s="22" t="str">
        <x:v>GEORGE-HADI</x:v>
      </x:c>
      <x:c r="B16" s="18" t="n">
        <x:v>15</x:v>
      </x:c>
      <x:c r="C16" s="18" t="n">
        <x:v>3</x:v>
      </x:c>
      <x:c r="D16" s="18" t="n">
        <x:v>1</x:v>
      </x:c>
      <x:c r="E16" s="18" t="n">
        <x:v>3</x:v>
      </x:c>
      <x:c r="F16" s="18" t="n">
        <x:f>SUM(B16:E16)</x:f>
        <x:v>22</x:v>
      </x:c>
      <x:c r="G16" s="18" t="n">
        <x:v>10</x:v>
      </x:c>
      <x:c r="H16" s="18" t="n">
        <x:v>0</x:v>
      </x:c>
      <x:c r="I16" s="18" t="n">
        <x:v>8</x:v>
      </x:c>
      <x:c r="J16" s="18" t="n">
        <x:v>2</x:v>
      </x:c>
      <x:c r="K16" s="18" t="n">
        <x:v>1</x:v>
      </x:c>
      <x:c r="L16" s="18" t="n">
        <x:v>0</x:v>
      </x:c>
      <x:c r="M16" s="18" t="n">
        <x:f>SUM(G16:L16)</x:f>
        <x:v>21</x:v>
      </x:c>
      <x:c r="N16" s="18" t="n">
        <x:f>F16+M16</x:f>
        <x:v>43</x:v>
      </x:c>
    </x:row>
    <x:row r="17">
      <x:c r="A17" s="22" t="str">
        <x:v>ZAIN-YAROUP</x:v>
      </x:c>
      <x:c r="B17" s="18" t="n">
        <x:v>15</x:v>
      </x:c>
      <x:c r="C17" s="18" t="n">
        <x:v>6</x:v>
      </x:c>
      <x:c r="D17" s="18" t="n">
        <x:v>1</x:v>
      </x:c>
      <x:c r="E17" s="18" t="n">
        <x:v>0</x:v>
      </x:c>
      <x:c r="F17" s="18" t="n">
        <x:f>SUM(B17:E17)</x:f>
        <x:v>22</x:v>
      </x:c>
      <x:c r="G17" s="18" t="n">
        <x:v>0</x:v>
      </x:c>
      <x:c r="H17" s="18" t="n">
        <x:v>0</x:v>
      </x:c>
      <x:c r="I17" s="18" t="n">
        <x:v>0</x:v>
      </x:c>
      <x:c r="J17" s="18" t="n">
        <x:v>1</x:v>
      </x:c>
      <x:c r="K17" s="18" t="n">
        <x:v>2</x:v>
      </x:c>
      <x:c r="L17" s="18" t="n">
        <x:v>0</x:v>
      </x:c>
      <x:c r="M17" s="18" t="n">
        <x:f>SUM(G17:L17)</x:f>
        <x:v>3</x:v>
      </x:c>
      <x:c r="N17" s="18" t="n">
        <x:f>F17+M17</x:f>
        <x:v>25</x:v>
      </x:c>
    </x:row>
    <x:row r="18">
      <x:c r="A18" s="22" t="str">
        <x:v>YASIN-YAROUP</x:v>
      </x:c>
      <x:c r="B18" s="18" t="n">
        <x:v>15</x:v>
      </x:c>
      <x:c r="C18" s="18" t="n">
        <x:v>8</x:v>
      </x:c>
      <x:c r="D18" s="18" t="n">
        <x:v>4</x:v>
      </x:c>
      <x:c r="E18" s="18" t="n">
        <x:v>0</x:v>
      </x:c>
      <x:c r="F18" s="18" t="n">
        <x:f>SUM(B18:E18)</x:f>
        <x:v>27</x:v>
      </x:c>
      <x:c r="G18" s="18" t="n">
        <x:v>0</x:v>
      </x:c>
      <x:c r="H18" s="18" t="n">
        <x:v>0</x:v>
      </x:c>
      <x:c r="I18" s="18" t="n">
        <x:v>0</x:v>
      </x:c>
      <x:c r="J18" s="18" t="n">
        <x:v>2</x:v>
      </x:c>
      <x:c r="K18" s="18" t="n">
        <x:v>0</x:v>
      </x:c>
      <x:c r="L18" s="18" t="n">
        <x:v>2</x:v>
      </x:c>
      <x:c r="M18" s="18" t="n">
        <x:f>SUM(G18:L18)</x:f>
        <x:v>4</x:v>
      </x:c>
      <x:c r="N18" s="18" t="n">
        <x:f>F18+M18</x:f>
        <x:v>31</x:v>
      </x:c>
    </x:row>
    <x:row r="19">
      <x:c r="A19" s="22" t="str">
        <x:v>SAMIR-NABIL</x:v>
      </x:c>
      <x:c r="B19" s="18" t="n">
        <x:v>15</x:v>
      </x:c>
      <x:c r="C19" s="18" t="n">
        <x:v>15</x:v>
      </x:c>
      <x:c r="D19" s="18" t="n">
        <x:v>2</x:v>
      </x:c>
      <x:c r="E19" s="18" t="n">
        <x:v>0</x:v>
      </x:c>
      <x:c r="F19" s="18" t="n">
        <x:f>SUM(B19:E19)</x:f>
        <x:v>32</x:v>
      </x:c>
      <x:c r="G19" s="18" t="n">
        <x:v>5</x:v>
      </x:c>
      <x:c r="H19" s="18" t="n">
        <x:v>5</x:v>
      </x:c>
      <x:c r="I19" s="18" t="n">
        <x:v>5</x:v>
      </x:c>
      <x:c r="J19" s="18" t="n">
        <x:v>2</x:v>
      </x:c>
      <x:c r="K19" s="18" t="n">
        <x:v>0</x:v>
      </x:c>
      <x:c r="L19" s="18" t="n">
        <x:v>2</x:v>
      </x:c>
      <x:c r="M19" s="18" t="n">
        <x:f>SUM(G19:L19)</x:f>
        <x:v>19</x:v>
      </x:c>
      <x:c r="N19" s="18" t="n">
        <x:f>F19+M19</x:f>
        <x:v>51</x:v>
      </x:c>
    </x:row>
    <x:row r="20">
      <x:c r="A20" s="22" t="str">
        <x:v>MAHMOUD-MERSHA</x:v>
      </x:c>
      <x:c r="B20" s="18" t="n">
        <x:v>15</x:v>
      </x:c>
      <x:c r="C20" s="18" t="n">
        <x:v>14</x:v>
      </x:c>
      <x:c r="D20" s="18" t="n">
        <x:v>1</x:v>
      </x:c>
      <x:c r="E20" s="18" t="n">
        <x:v>0</x:v>
      </x:c>
      <x:c r="F20" s="18" t="n">
        <x:f>SUM(B20:E20)</x:f>
        <x:v>30</x:v>
      </x:c>
      <x:c r="G20" s="18" t="n">
        <x:v>10</x:v>
      </x:c>
      <x:c r="H20" s="18" t="n">
        <x:v>0</x:v>
      </x:c>
      <x:c r="I20" s="18" t="n">
        <x:v>2</x:v>
      </x:c>
      <x:c r="J20" s="18" t="n">
        <x:v>1</x:v>
      </x:c>
      <x:c r="K20" s="18" t="n">
        <x:v>1</x:v>
      </x:c>
      <x:c r="L20" s="18" t="n">
        <x:v>0</x:v>
      </x:c>
      <x:c r="M20" s="18" t="n">
        <x:f>SUM(G20:L20)</x:f>
        <x:v>14</x:v>
      </x:c>
      <x:c r="N20" s="18" t="n">
        <x:f>F20+M20</x:f>
        <x:v>44</x:v>
      </x:c>
    </x:row>
    <x:row r="21">
      <x:c r="A21" s="22" t="str">
        <x:v>ABUASAKER-KAMAL</x:v>
      </x:c>
      <x:c r="B21" s="18" t="n">
        <x:v>15</x:v>
      </x:c>
      <x:c r="C21" s="18" t="n">
        <x:v>7</x:v>
      </x:c>
      <x:c r="D21" s="18" t="n">
        <x:v>4</x:v>
      </x:c>
      <x:c r="E21" s="18" t="n">
        <x:v>3</x:v>
      </x:c>
      <x:c r="F21" s="18" t="n">
        <x:f>SUM(B21:E21)</x:f>
        <x:v>29</x:v>
      </x:c>
      <x:c r="G21" s="18" t="n">
        <x:v>0</x:v>
      </x:c>
      <x:c r="H21" s="18" t="n">
        <x:v>0</x:v>
      </x:c>
      <x:c r="I21" s="18" t="n">
        <x:v>2</x:v>
      </x:c>
      <x:c r="J21" s="18" t="n">
        <x:v>4</x:v>
      </x:c>
      <x:c r="K21" s="18" t="n">
        <x:v>1</x:v>
      </x:c>
      <x:c r="L21" s="18" t="n">
        <x:v>0</x:v>
      </x:c>
      <x:c r="M21" s="18" t="n">
        <x:f>SUM(G21:L21)</x:f>
        <x:v>7</x:v>
      </x:c>
      <x:c r="N21" s="18" t="n">
        <x:f>F21+M21</x:f>
        <x:v>36</x:v>
      </x:c>
    </x:row>
    <x:row r="22">
      <x:c r="A22" s="22" t="str">
        <x:v>SAMIR-DIMA</x:v>
      </x:c>
      <x:c r="B22" s="18" t="n">
        <x:v>5</x:v>
      </x:c>
      <x:c r="C22" s="18" t="n">
        <x:v>9</x:v>
      </x:c>
      <x:c r="D22" s="18" t="n">
        <x:v>0</x:v>
      </x:c>
      <x:c r="E22" s="18" t="n">
        <x:v>0</x:v>
      </x:c>
      <x:c r="F22" s="18" t="n">
        <x:f>SUM(B22:E22)</x:f>
        <x:v>14</x:v>
      </x:c>
      <x:c r="G22" s="18" t="n">
        <x:v>0</x:v>
      </x:c>
      <x:c r="H22" s="18" t="n">
        <x:v>0</x:v>
      </x:c>
      <x:c r="I22" s="18" t="n">
        <x:v>8</x:v>
      </x:c>
      <x:c r="J22" s="18" t="n">
        <x:v>5</x:v>
      </x:c>
      <x:c r="K22" s="18" t="n">
        <x:v>0</x:v>
      </x:c>
      <x:c r="L22" s="18" t="n">
        <x:v>2</x:v>
      </x:c>
      <x:c r="M22" s="18" t="n">
        <x:f>SUM(G22:L22)</x:f>
        <x:v>15</x:v>
      </x:c>
      <x:c r="N22" s="18" t="n">
        <x:f>F22+M22</x:f>
        <x:v>29</x:v>
      </x:c>
    </x:row>
    <x:row r="23">
      <x:c r="A23" s="22" t="str">
        <x:v>MAHMOUD-YAROUP</x:v>
      </x:c>
      <x:c r="B23" s="18" t="n">
        <x:v>5</x:v>
      </x:c>
      <x:c r="C23" s="18" t="n">
        <x:v>18</x:v>
      </x:c>
      <x:c r="D23" s="18" t="n">
        <x:v>0</x:v>
      </x:c>
      <x:c r="E23" s="18" t="n">
        <x:v>0</x:v>
      </x:c>
      <x:c r="F23" s="18" t="n">
        <x:f>SUM(B23:E23)</x:f>
        <x:v>23</x:v>
      </x:c>
      <x:c r="G23" s="18" t="n">
        <x:v>0</x:v>
      </x:c>
      <x:c r="H23" s="18" t="n">
        <x:v>0</x:v>
      </x:c>
      <x:c r="I23" s="18" t="n">
        <x:v>10</x:v>
      </x:c>
      <x:c r="J23" s="18" t="n">
        <x:v>4</x:v>
      </x:c>
      <x:c r="K23" s="18" t="n">
        <x:v>0</x:v>
      </x:c>
      <x:c r="L23" s="18" t="n">
        <x:v>0</x:v>
      </x:c>
      <x:c r="M23" s="18" t="n">
        <x:f>SUM(G23:L23)</x:f>
        <x:v>14</x:v>
      </x:c>
      <x:c r="N23" s="18" t="n">
        <x:f>F23+M23</x:f>
        <x:v>37</x:v>
      </x:c>
    </x:row>
    <x:row r="24">
      <x:c r="A24" s="22" t="str">
        <x:v>AGGAD-KAMAL</x:v>
      </x:c>
      <x:c r="B24" s="18" t="n">
        <x:v>15</x:v>
      </x:c>
      <x:c r="C24" s="18" t="n">
        <x:v>15</x:v>
      </x:c>
      <x:c r="D24" s="18" t="n">
        <x:v>0</x:v>
      </x:c>
      <x:c r="E24" s="18" t="n">
        <x:v>0</x:v>
      </x:c>
      <x:c r="F24" s="18" t="n">
        <x:f>SUM(B24:E24)</x:f>
        <x:v>30</x:v>
      </x:c>
      <x:c r="G24" s="18" t="n">
        <x:v>0</x:v>
      </x:c>
      <x:c r="H24" s="18" t="n">
        <x:v>5</x:v>
      </x:c>
      <x:c r="I24" s="18" t="n">
        <x:v>0</x:v>
      </x:c>
      <x:c r="J24" s="18" t="n">
        <x:v>1</x:v>
      </x:c>
      <x:c r="K24" s="18" t="n">
        <x:v>1</x:v>
      </x:c>
      <x:c r="L24" s="18" t="n">
        <x:v>0</x:v>
      </x:c>
      <x:c r="M24" s="18" t="n">
        <x:f>SUM(G24:L24)</x:f>
        <x:v>7</x:v>
      </x:c>
      <x:c r="N24" s="18" t="n">
        <x:f>F24+M24</x:f>
        <x:v>37</x:v>
      </x:c>
    </x:row>
    <x:row r="25">
      <x:c r="A25" s="22" t="str">
        <x:v>ADANE-TAREK</x:v>
      </x:c>
      <x:c r="B25" s="18" t="n">
        <x:v>15</x:v>
      </x:c>
      <x:c r="C25" s="18" t="n">
        <x:v>3</x:v>
      </x:c>
      <x:c r="D25" s="18" t="n">
        <x:v>3</x:v>
      </x:c>
      <x:c r="E25" s="18" t="n">
        <x:v>3</x:v>
      </x:c>
      <x:c r="F25" s="18" t="n">
        <x:f>SUM(B25:E25)</x:f>
        <x:v>24</x:v>
      </x:c>
      <x:c r="G25" s="18" t="n">
        <x:v>0</x:v>
      </x:c>
      <x:c r="H25" s="18" t="n">
        <x:v>5</x:v>
      </x:c>
      <x:c r="I25" s="18" t="n">
        <x:v>0</x:v>
      </x:c>
      <x:c r="J25" s="18" t="n">
        <x:v>0</x:v>
      </x:c>
      <x:c r="K25" s="18" t="n">
        <x:v>0</x:v>
      </x:c>
      <x:c r="L25" s="18" t="n">
        <x:v>2</x:v>
      </x:c>
      <x:c r="M25" s="18" t="n">
        <x:f>SUM(G25:L25)</x:f>
        <x:v>7</x:v>
      </x:c>
      <x:c r="N25" s="18" t="n">
        <x:f>F25+M25</x:f>
        <x:v>31</x:v>
      </x:c>
    </x:row>
    <x:row r="26">
      <x:c r="A26" s="22" t="str">
        <x:v>HASSAN-NADIA</x:v>
      </x:c>
      <x:c r="B26" s="18" t="n">
        <x:v>5</x:v>
      </x:c>
      <x:c r="C26" s="18" t="n">
        <x:v>20</x:v>
      </x:c>
      <x:c r="D26" s="18" t="n">
        <x:v>1</x:v>
      </x:c>
      <x:c r="E26" s="18" t="n">
        <x:v>0</x:v>
      </x:c>
      <x:c r="F26" s="18" t="n">
        <x:f>SUM(B26:E26)</x:f>
        <x:v>26</x:v>
      </x:c>
      <x:c r="G26" s="18" t="n">
        <x:v>10</x:v>
      </x:c>
      <x:c r="H26" s="18" t="n">
        <x:v>0</x:v>
      </x:c>
      <x:c r="I26" s="18" t="n">
        <x:v>8</x:v>
      </x:c>
      <x:c r="J26" s="18" t="n">
        <x:v>4</x:v>
      </x:c>
      <x:c r="K26" s="18" t="n">
        <x:v>2</x:v>
      </x:c>
      <x:c r="L26" s="18" t="n">
        <x:v>2</x:v>
      </x:c>
      <x:c r="M26" s="18" t="n">
        <x:f>SUM(G26:L26)</x:f>
        <x:v>26</x:v>
      </x:c>
      <x:c r="N26" s="18" t="n">
        <x:f>F26+M26</x:f>
        <x:v>52</x:v>
      </x:c>
    </x:row>
    <x:row r="27">
      <x:c r="A27" s="22" t="str">
        <x:v>DANIEL-ABDIKADIR</x:v>
      </x:c>
      <x:c r="B27" s="18" t="n">
        <x:v>15</x:v>
      </x:c>
      <x:c r="C27" s="18" t="n">
        <x:v>12</x:v>
      </x:c>
      <x:c r="D27" s="18" t="n">
        <x:v>5</x:v>
      </x:c>
      <x:c r="E27" s="18" t="n">
        <x:v>0</x:v>
      </x:c>
      <x:c r="F27" s="18" t="n">
        <x:f>SUM(B27:E27)</x:f>
        <x:v>32</x:v>
      </x:c>
      <x:c r="G27" s="18" t="n">
        <x:v>0</x:v>
      </x:c>
      <x:c r="H27" s="18" t="n">
        <x:v>5</x:v>
      </x:c>
      <x:c r="I27" s="18" t="n">
        <x:v>0</x:v>
      </x:c>
      <x:c r="J27" s="18" t="n">
        <x:v>5</x:v>
      </x:c>
      <x:c r="K27" s="18" t="n">
        <x:v>2</x:v>
      </x:c>
      <x:c r="L27" s="18" t="n">
        <x:v>0</x:v>
      </x:c>
      <x:c r="M27" s="18" t="n">
        <x:f>SUM(G27:L27)</x:f>
        <x:v>12</x:v>
      </x:c>
      <x:c r="N27" s="18" t="n">
        <x:f>F27+M27</x:f>
        <x:v>44</x:v>
      </x:c>
    </x:row>
    <x:row r="28">
      <x:c r="A28" s="22" t="str">
        <x:v>QADIR-AMIRA</x:v>
      </x:c>
      <x:c r="B28" s="18" t="n">
        <x:v>15</x:v>
      </x:c>
      <x:c r="C28" s="18" t="n">
        <x:v>8</x:v>
      </x:c>
      <x:c r="D28" s="18" t="n">
        <x:v>3</x:v>
      </x:c>
      <x:c r="E28" s="18" t="n">
        <x:v>0</x:v>
      </x:c>
      <x:c r="F28" s="18" t="n">
        <x:f>SUM(B28:E28)</x:f>
        <x:v>26</x:v>
      </x:c>
      <x:c r="G28" s="18" t="n">
        <x:v>10</x:v>
      </x:c>
      <x:c r="H28" s="18" t="n">
        <x:v>0</x:v>
      </x:c>
      <x:c r="I28" s="18" t="n">
        <x:v>0</x:v>
      </x:c>
      <x:c r="J28" s="18" t="n">
        <x:v>4</x:v>
      </x:c>
      <x:c r="K28" s="18" t="n">
        <x:v>2</x:v>
      </x:c>
      <x:c r="L28" s="18" t="n">
        <x:v>2</x:v>
      </x:c>
      <x:c r="M28" s="18" t="n">
        <x:f>SUM(G28:L28)</x:f>
        <x:v>18</x:v>
      </x:c>
      <x:c r="N28" s="18" t="n">
        <x:f>F28+M28</x:f>
        <x:v>44</x:v>
      </x:c>
    </x:row>
    <x:row r="29">
      <x:c r="A29" s="22" t="str">
        <x:v>ELIAS-MOHAMED</x:v>
      </x:c>
      <x:c r="B29" s="18" t="n">
        <x:v>15</x:v>
      </x:c>
      <x:c r="C29" s="18" t="n">
        <x:v>10</x:v>
      </x:c>
      <x:c r="D29" s="18" t="n">
        <x:v>2</x:v>
      </x:c>
      <x:c r="E29" s="18" t="n">
        <x:v>3</x:v>
      </x:c>
      <x:c r="F29" s="18" t="n">
        <x:f>SUM(B29:E29)</x:f>
        <x:v>30</x:v>
      </x:c>
      <x:c r="G29" s="18" t="n">
        <x:v>0</x:v>
      </x:c>
      <x:c r="H29" s="18" t="n">
        <x:v>5</x:v>
      </x:c>
      <x:c r="I29" s="18" t="n">
        <x:v>4</x:v>
      </x:c>
      <x:c r="J29" s="18" t="n">
        <x:v>1</x:v>
      </x:c>
      <x:c r="K29" s="18" t="n">
        <x:v>0</x:v>
      </x:c>
      <x:c r="L29" s="18" t="n">
        <x:v>2</x:v>
      </x:c>
      <x:c r="M29" s="18" t="n">
        <x:f>SUM(G29:L29)</x:f>
        <x:v>12</x:v>
      </x:c>
      <x:c r="N29" s="18" t="n">
        <x:f>F29+M29</x:f>
        <x:v>42</x:v>
      </x:c>
    </x:row>
    <x:row r="30">
      <x:c r="A30" s="22" t="str">
        <x:v>GEORGE-LINA</x:v>
      </x:c>
      <x:c r="B30" s="18" t="n">
        <x:v>15</x:v>
      </x:c>
      <x:c r="C30" s="18" t="n">
        <x:v>14</x:v>
      </x:c>
      <x:c r="D30" s="18" t="n">
        <x:v>3</x:v>
      </x:c>
      <x:c r="E30" s="18" t="n">
        <x:v>0</x:v>
      </x:c>
      <x:c r="F30" s="18" t="n">
        <x:f>SUM(B30:E30)</x:f>
        <x:v>32</x:v>
      </x:c>
      <x:c r="G30" s="18" t="n">
        <x:v>0</x:v>
      </x:c>
      <x:c r="H30" s="18" t="n">
        <x:v>0</x:v>
      </x:c>
      <x:c r="I30" s="18" t="n">
        <x:v>5</x:v>
      </x:c>
      <x:c r="J30" s="18" t="n">
        <x:v>3</x:v>
      </x:c>
      <x:c r="K30" s="18" t="n">
        <x:v>2</x:v>
      </x:c>
      <x:c r="L30" s="18" t="n">
        <x:v>0</x:v>
      </x:c>
      <x:c r="M30" s="18" t="n">
        <x:f>SUM(G30:L30)</x:f>
        <x:v>10</x:v>
      </x:c>
      <x:c r="N30" s="18" t="n">
        <x:f>F30+M30</x:f>
        <x:v>42</x:v>
      </x:c>
    </x:row>
    <x:row r="31">
      <x:c r="A31" s="22" t="str">
        <x:v>YOUSEF-MIRA</x:v>
      </x:c>
      <x:c r="B31" s="18" t="n">
        <x:v>15</x:v>
      </x:c>
      <x:c r="C31" s="18" t="n">
        <x:v>9</x:v>
      </x:c>
      <x:c r="D31" s="18" t="n">
        <x:v>2</x:v>
      </x:c>
      <x:c r="E31" s="18" t="n">
        <x:v>3</x:v>
      </x:c>
      <x:c r="F31" s="18" t="n">
        <x:f>SUM(B31:E31)</x:f>
        <x:v>29</x:v>
      </x:c>
      <x:c r="G31" s="18" t="n">
        <x:v>0</x:v>
      </x:c>
      <x:c r="H31" s="18" t="n">
        <x:v>0</x:v>
      </x:c>
      <x:c r="I31" s="18" t="n">
        <x:v>1</x:v>
      </x:c>
      <x:c r="J31" s="18" t="n">
        <x:v>3</x:v>
      </x:c>
      <x:c r="K31" s="18" t="n">
        <x:v>0</x:v>
      </x:c>
      <x:c r="L31" s="18" t="n">
        <x:v>0</x:v>
      </x:c>
      <x:c r="M31" s="18" t="n">
        <x:f>SUM(G31:L31)</x:f>
        <x:v>4</x:v>
      </x:c>
      <x:c r="N31" s="18" t="n">
        <x:f>F31+M31</x:f>
        <x:v>33</x:v>
      </x:c>
    </x:row>
    <x:row r="32">
      <x:c r="A32" s="22" t="str">
        <x:v>HASSAN-ZIAD</x:v>
      </x:c>
      <x:c r="B32" s="18" t="n">
        <x:v>15</x:v>
      </x:c>
      <x:c r="C32" s="18" t="n">
        <x:v>10</x:v>
      </x:c>
      <x:c r="D32" s="18" t="n">
        <x:v>2</x:v>
      </x:c>
      <x:c r="E32" s="18" t="n">
        <x:v>0</x:v>
      </x:c>
      <x:c r="F32" s="18" t="n">
        <x:f>SUM(B32:E32)</x:f>
        <x:v>27</x:v>
      </x:c>
      <x:c r="G32" s="18" t="n">
        <x:v>0</x:v>
      </x:c>
      <x:c r="H32" s="18" t="n">
        <x:v>0</x:v>
      </x:c>
      <x:c r="I32" s="18" t="n">
        <x:v>6</x:v>
      </x:c>
      <x:c r="J32" s="18" t="n">
        <x:v>0</x:v>
      </x:c>
      <x:c r="K32" s="18" t="n">
        <x:v>1</x:v>
      </x:c>
      <x:c r="L32" s="18" t="n">
        <x:v>2</x:v>
      </x:c>
      <x:c r="M32" s="18" t="n">
        <x:f>SUM(G32:L32)</x:f>
        <x:v>9</x:v>
      </x:c>
      <x:c r="N32" s="18" t="n">
        <x:f>F32+M32</x:f>
        <x:v>36</x:v>
      </x:c>
    </x:row>
    <x:row r="33">
      <x:c r="A33" s="22" t="str">
        <x:v>IBRAHIM-HADI</x:v>
      </x:c>
      <x:c r="B33" s="18" t="n">
        <x:v>5</x:v>
      </x:c>
      <x:c r="C33" s="18" t="n">
        <x:v>7</x:v>
      </x:c>
      <x:c r="D33" s="18" t="n">
        <x:v>2</x:v>
      </x:c>
      <x:c r="E33" s="18" t="n">
        <x:v>0</x:v>
      </x:c>
      <x:c r="F33" s="18" t="n">
        <x:f>SUM(B33:E33)</x:f>
        <x:v>14</x:v>
      </x:c>
      <x:c r="G33" s="18" t="n">
        <x:v>5</x:v>
      </x:c>
      <x:c r="H33" s="18" t="n">
        <x:v>0</x:v>
      </x:c>
      <x:c r="I33" s="18" t="n">
        <x:v>7</x:v>
      </x:c>
      <x:c r="J33" s="18" t="n">
        <x:v>2</x:v>
      </x:c>
      <x:c r="K33" s="18" t="n">
        <x:v>0</x:v>
      </x:c>
      <x:c r="L33" s="18" t="n">
        <x:v>2</x:v>
      </x:c>
      <x:c r="M33" s="18" t="n">
        <x:f>SUM(G33:L33)</x:f>
        <x:v>16</x:v>
      </x:c>
      <x:c r="N33" s="18" t="n">
        <x:f>F33+M33</x:f>
        <x:v>30</x:v>
      </x:c>
    </x:row>
    <x:row r="34">
      <x:c r="A34" s="22" t="str">
        <x:v>YASIN-JALAL</x:v>
      </x:c>
      <x:c r="B34" s="18" t="n">
        <x:v>5</x:v>
      </x:c>
      <x:c r="C34" s="18" t="n">
        <x:v>19</x:v>
      </x:c>
      <x:c r="D34" s="18" t="n">
        <x:v>4</x:v>
      </x:c>
      <x:c r="E34" s="18" t="n">
        <x:v>0</x:v>
      </x:c>
      <x:c r="F34" s="18" t="n">
        <x:f>SUM(B34:E34)</x:f>
        <x:v>28</x:v>
      </x:c>
      <x:c r="G34" s="18" t="n">
        <x:v>10</x:v>
      </x:c>
      <x:c r="H34" s="18" t="n">
        <x:v>0</x:v>
      </x:c>
      <x:c r="I34" s="18" t="n">
        <x:v>3</x:v>
      </x:c>
      <x:c r="J34" s="18" t="n">
        <x:v>2</x:v>
      </x:c>
      <x:c r="K34" s="18" t="n">
        <x:v>0</x:v>
      </x:c>
      <x:c r="L34" s="18" t="n">
        <x:v>0</x:v>
      </x:c>
      <x:c r="M34" s="18" t="n">
        <x:f>SUM(G34:L34)</x:f>
        <x:v>15</x:v>
      </x:c>
      <x:c r="N34" s="18" t="n">
        <x:f>F34+M34</x:f>
        <x:v>43</x:v>
      </x:c>
    </x:row>
    <x:row r="35">
      <x:c r="A35" s="22" t="str">
        <x:v>ALNAJJAR-RANIA</x:v>
      </x:c>
      <x:c r="B35" s="18" t="n">
        <x:v>5</x:v>
      </x:c>
      <x:c r="C35" s="18" t="n">
        <x:v>11</x:v>
      </x:c>
      <x:c r="D35" s="18" t="n">
        <x:v>0</x:v>
      </x:c>
      <x:c r="E35" s="18" t="n">
        <x:v>3</x:v>
      </x:c>
      <x:c r="F35" s="18" t="n">
        <x:f>SUM(B35:E35)</x:f>
        <x:v>19</x:v>
      </x:c>
      <x:c r="G35" s="18" t="n">
        <x:v>10</x:v>
      </x:c>
      <x:c r="H35" s="18" t="n">
        <x:v>5</x:v>
      </x:c>
      <x:c r="I35" s="18" t="n">
        <x:v>3</x:v>
      </x:c>
      <x:c r="J35" s="18" t="n">
        <x:v>5</x:v>
      </x:c>
      <x:c r="K35" s="18" t="n">
        <x:v>0</x:v>
      </x:c>
      <x:c r="L35" s="18" t="n">
        <x:v>0</x:v>
      </x:c>
      <x:c r="M35" s="18" t="n">
        <x:f>SUM(G35:L35)</x:f>
        <x:v>23</x:v>
      </x:c>
      <x:c r="N35" s="18" t="n">
        <x:f>F35+M35</x:f>
        <x:v>42</x:v>
      </x:c>
    </x:row>
    <x:row r="36">
      <x:c r="A36" s="22" t="str">
        <x:v>ABUASAKER-BILAL</x:v>
      </x:c>
      <x:c r="B36" s="18" t="n">
        <x:v>15</x:v>
      </x:c>
      <x:c r="C36" s="18" t="n">
        <x:v>20</x:v>
      </x:c>
      <x:c r="D36" s="18" t="n">
        <x:v>4</x:v>
      </x:c>
      <x:c r="E36" s="18" t="n">
        <x:v>0</x:v>
      </x:c>
      <x:c r="F36" s="18" t="n">
        <x:f>SUM(B36:E36)</x:f>
        <x:v>39</x:v>
      </x:c>
      <x:c r="G36" s="18" t="n">
        <x:v>0</x:v>
      </x:c>
      <x:c r="H36" s="18" t="n">
        <x:v>0</x:v>
      </x:c>
      <x:c r="I36" s="18" t="n">
        <x:v>0</x:v>
      </x:c>
      <x:c r="J36" s="18" t="n">
        <x:v>2</x:v>
      </x:c>
      <x:c r="K36" s="18" t="n">
        <x:v>1</x:v>
      </x:c>
      <x:c r="L36" s="18" t="n">
        <x:v>0</x:v>
      </x:c>
      <x:c r="M36" s="18" t="n">
        <x:f>SUM(G36:L36)</x:f>
        <x:v>3</x:v>
      </x:c>
      <x:c r="N36" s="18" t="n">
        <x:f>F36+M36</x:f>
        <x:v>42</x:v>
      </x:c>
    </x:row>
    <x:row r="37">
      <x:c r="A37" s="22" t="str">
        <x:v>OMAR-HANA</x:v>
      </x:c>
      <x:c r="B37" s="18" t="n">
        <x:v>15</x:v>
      </x:c>
      <x:c r="C37" s="18" t="n">
        <x:v>20</x:v>
      </x:c>
      <x:c r="D37" s="18" t="n">
        <x:v>5</x:v>
      </x:c>
      <x:c r="E37" s="18" t="n">
        <x:v>0</x:v>
      </x:c>
      <x:c r="F37" s="18" t="n">
        <x:f>SUM(B37:E37)</x:f>
        <x:v>40</x:v>
      </x:c>
      <x:c r="G37" s="18" t="n">
        <x:v>0</x:v>
      </x:c>
      <x:c r="H37" s="18" t="n">
        <x:v>0</x:v>
      </x:c>
      <x:c r="I37" s="18" t="n">
        <x:v>0</x:v>
      </x:c>
      <x:c r="J37" s="18" t="n">
        <x:v>0</x:v>
      </x:c>
      <x:c r="K37" s="18" t="n">
        <x:v>0</x:v>
      </x:c>
      <x:c r="L37" s="18" t="n">
        <x:v>0</x:v>
      </x:c>
      <x:c r="M37" s="18" t="n">
        <x:f>SUM(G37:L37)</x:f>
        <x:v>0</x:v>
      </x:c>
      <x:c r="N37" s="18" t="n">
        <x:f>F37+M37</x:f>
        <x:v>40</x:v>
      </x:c>
    </x:row>
    <x:row r="38">
      <x:c r="A38" s="22" t="str">
        <x:v>MOHAMED-LEILA</x:v>
      </x:c>
      <x:c r="B38" s="18" t="n">
        <x:v>15</x:v>
      </x:c>
      <x:c r="C38" s="18" t="n">
        <x:v>13</x:v>
      </x:c>
      <x:c r="D38" s="18" t="n">
        <x:v>1</x:v>
      </x:c>
      <x:c r="E38" s="18" t="n">
        <x:v>0</x:v>
      </x:c>
      <x:c r="F38" s="18" t="n">
        <x:f>SUM(B38:E38)</x:f>
        <x:v>29</x:v>
      </x:c>
      <x:c r="G38" s="18" t="n">
        <x:v>0</x:v>
      </x:c>
      <x:c r="H38" s="18" t="n">
        <x:v>5</x:v>
      </x:c>
      <x:c r="I38" s="18" t="n">
        <x:v>10</x:v>
      </x:c>
      <x:c r="J38" s="18" t="n">
        <x:v>1</x:v>
      </x:c>
      <x:c r="K38" s="18" t="n">
        <x:v>0</x:v>
      </x:c>
      <x:c r="L38" s="18" t="n">
        <x:v>2</x:v>
      </x:c>
      <x:c r="M38" s="18" t="n">
        <x:f>SUM(G38:L38)</x:f>
        <x:v>18</x:v>
      </x:c>
      <x:c r="N38" s="18" t="n">
        <x:f>F38+M38</x:f>
        <x:v>47</x:v>
      </x:c>
    </x:row>
    <x:row r="39">
      <x:c r="A39" s="22" t="str">
        <x:v>SALIM-WAEL</x:v>
      </x:c>
      <x:c r="B39" s="18" t="n">
        <x:v>5</x:v>
      </x:c>
      <x:c r="C39" s="18" t="n">
        <x:v>7</x:v>
      </x:c>
      <x:c r="D39" s="18" t="n">
        <x:v>2</x:v>
      </x:c>
      <x:c r="E39" s="18" t="n">
        <x:v>0</x:v>
      </x:c>
      <x:c r="F39" s="18" t="n">
        <x:f>SUM(B39:E39)</x:f>
        <x:v>14</x:v>
      </x:c>
      <x:c r="G39" s="18" t="n">
        <x:v>0</x:v>
      </x:c>
      <x:c r="H39" s="18" t="n">
        <x:v>5</x:v>
      </x:c>
      <x:c r="I39" s="18" t="n">
        <x:v>15</x:v>
      </x:c>
      <x:c r="J39" s="18" t="n">
        <x:v>0</x:v>
      </x:c>
      <x:c r="K39" s="18" t="n">
        <x:v>0</x:v>
      </x:c>
      <x:c r="L39" s="18" t="n">
        <x:v>0</x:v>
      </x:c>
      <x:c r="M39" s="18" t="n">
        <x:f>SUM(G39:L39)</x:f>
        <x:v>20</x:v>
      </x:c>
      <x:c r="N39" s="18" t="n">
        <x:f>F39+M39</x:f>
        <x:v>34</x:v>
      </x:c>
    </x:row>
    <x:row r="40">
      <x:c r="A40" s="22" t="str">
        <x:v>QADIR-TALA</x:v>
      </x:c>
      <x:c r="B40" s="18" t="n">
        <x:v>15</x:v>
      </x:c>
      <x:c r="C40" s="18" t="n">
        <x:v>9</x:v>
      </x:c>
      <x:c r="D40" s="18" t="n">
        <x:v>4</x:v>
      </x:c>
      <x:c r="E40" s="18" t="n">
        <x:v>0</x:v>
      </x:c>
      <x:c r="F40" s="18" t="n">
        <x:f>SUM(B40:E40)</x:f>
        <x:v>28</x:v>
      </x:c>
      <x:c r="G40" s="18" t="n">
        <x:v>10</x:v>
      </x:c>
      <x:c r="H40" s="18" t="n">
        <x:v>0</x:v>
      </x:c>
      <x:c r="I40" s="18" t="n">
        <x:v>7</x:v>
      </x:c>
      <x:c r="J40" s="18" t="n">
        <x:v>3</x:v>
      </x:c>
      <x:c r="K40" s="18" t="n">
        <x:v>0</x:v>
      </x:c>
      <x:c r="L40" s="18" t="n">
        <x:v>0</x:v>
      </x:c>
      <x:c r="M40" s="18" t="n">
        <x:f>SUM(G40:L40)</x:f>
        <x:v>20</x:v>
      </x:c>
      <x:c r="N40" s="18" t="n">
        <x:f>F40+M40</x:f>
        <x:v>48</x:v>
      </x:c>
    </x:row>
    <x:row r="41">
      <x:c r="A41" s="22" t="str">
        <x:v>TARIQ-AMAZIGH</x:v>
      </x:c>
      <x:c r="B41" s="18" t="n">
        <x:v>15</x:v>
      </x:c>
      <x:c r="C41" s="18" t="n">
        <x:v>3</x:v>
      </x:c>
      <x:c r="D41" s="18" t="n">
        <x:v>3</x:v>
      </x:c>
      <x:c r="E41" s="18" t="n">
        <x:v>0</x:v>
      </x:c>
      <x:c r="F41" s="18" t="n">
        <x:f>SUM(B41:E41)</x:f>
        <x:v>21</x:v>
      </x:c>
      <x:c r="G41" s="18" t="n">
        <x:v>10</x:v>
      </x:c>
      <x:c r="H41" s="18" t="n">
        <x:v>5</x:v>
      </x:c>
      <x:c r="I41" s="18" t="n">
        <x:v>8</x:v>
      </x:c>
      <x:c r="J41" s="18" t="n">
        <x:v>0</x:v>
      </x:c>
      <x:c r="K41" s="18" t="n">
        <x:v>0</x:v>
      </x:c>
      <x:c r="L41" s="18" t="n">
        <x:v>0</x:v>
      </x:c>
      <x:c r="M41" s="18" t="n">
        <x:f>SUM(G41:L41)</x:f>
        <x:v>23</x:v>
      </x:c>
      <x:c r="N41" s="18" t="n">
        <x:f>F41+M41</x:f>
        <x:v>44</x:v>
      </x:c>
    </x:row>
    <x:row r="42">
      <x:c r="A42" s="22" t="str">
        <x:v>ISMAIL-DIMA</x:v>
      </x:c>
      <x:c r="B42" s="18" t="n">
        <x:v>15</x:v>
      </x:c>
      <x:c r="C42" s="18" t="n">
        <x:v>19</x:v>
      </x:c>
      <x:c r="D42" s="18" t="n">
        <x:v>1</x:v>
      </x:c>
      <x:c r="E42" s="18" t="n">
        <x:v>0</x:v>
      </x:c>
      <x:c r="F42" s="18" t="n">
        <x:f>SUM(B42:E42)</x:f>
        <x:v>35</x:v>
      </x:c>
      <x:c r="G42" s="18" t="n">
        <x:v>0</x:v>
      </x:c>
      <x:c r="H42" s="18" t="n">
        <x:v>0</x:v>
      </x:c>
      <x:c r="I42" s="18" t="n">
        <x:v>0</x:v>
      </x:c>
      <x:c r="J42" s="18" t="n">
        <x:v>1</x:v>
      </x:c>
      <x:c r="K42" s="18" t="n">
        <x:v>0</x:v>
      </x:c>
      <x:c r="L42" s="18" t="n">
        <x:v>0</x:v>
      </x:c>
      <x:c r="M42" s="18" t="n">
        <x:f>SUM(G42:L42)</x:f>
        <x:v>1</x:v>
      </x:c>
      <x:c r="N42" s="18" t="n">
        <x:f>F42+M42</x:f>
        <x:v>36</x:v>
      </x:c>
    </x:row>
    <x:row r="43">
      <x:c r="A43" s="22" t="str">
        <x:v>ADANE-MERSHA</x:v>
      </x:c>
      <x:c r="B43" s="18" t="n">
        <x:v>15</x:v>
      </x:c>
      <x:c r="C43" s="18" t="n">
        <x:v>10</x:v>
      </x:c>
      <x:c r="D43" s="18" t="n">
        <x:v>0</x:v>
      </x:c>
      <x:c r="E43" s="18" t="n">
        <x:v>0</x:v>
      </x:c>
      <x:c r="F43" s="18" t="n">
        <x:f>SUM(B43:E43)</x:f>
        <x:v>25</x:v>
      </x:c>
      <x:c r="G43" s="18" t="n">
        <x:v>10</x:v>
      </x:c>
      <x:c r="H43" s="18" t="n">
        <x:v>0</x:v>
      </x:c>
      <x:c r="I43" s="18" t="n">
        <x:v>9</x:v>
      </x:c>
      <x:c r="J43" s="18" t="n">
        <x:v>4</x:v>
      </x:c>
      <x:c r="K43" s="18" t="n">
        <x:v>0</x:v>
      </x:c>
      <x:c r="L43" s="18" t="n">
        <x:v>2</x:v>
      </x:c>
      <x:c r="M43" s="18" t="n">
        <x:f>SUM(G43:L43)</x:f>
        <x:v>25</x:v>
      </x:c>
      <x:c r="N43" s="18" t="n">
        <x:f>F43+M43</x:f>
        <x:v>50</x:v>
      </x:c>
    </x:row>
    <x:row r="44">
      <x:c r="A44" s="22" t="str">
        <x:v>SAMIR-MERSHA</x:v>
      </x:c>
      <x:c r="B44" s="18" t="n">
        <x:v>15</x:v>
      </x:c>
      <x:c r="C44" s="18" t="n">
        <x:v>3</x:v>
      </x:c>
      <x:c r="D44" s="18" t="n">
        <x:v>5</x:v>
      </x:c>
      <x:c r="E44" s="18" t="n">
        <x:v>0</x:v>
      </x:c>
      <x:c r="F44" s="18" t="n">
        <x:f>SUM(B44:E44)</x:f>
        <x:v>23</x:v>
      </x:c>
      <x:c r="G44" s="18" t="n">
        <x:v>5</x:v>
      </x:c>
      <x:c r="H44" s="18" t="n">
        <x:v>0</x:v>
      </x:c>
      <x:c r="I44" s="18" t="n">
        <x:v>3</x:v>
      </x:c>
      <x:c r="J44" s="18" t="n">
        <x:v>2</x:v>
      </x:c>
      <x:c r="K44" s="18" t="n">
        <x:v>0</x:v>
      </x:c>
      <x:c r="L44" s="18" t="n">
        <x:v>0</x:v>
      </x:c>
      <x:c r="M44" s="18" t="n">
        <x:f>SUM(G44:L44)</x:f>
        <x:v>10</x:v>
      </x:c>
      <x:c r="N44" s="18" t="n">
        <x:f>F44+M44</x:f>
        <x:v>33</x:v>
      </x:c>
    </x:row>
    <x:row r="45">
      <x:c r="A45" s="22" t="str">
        <x:v>ADANE-YOUSEF</x:v>
      </x:c>
      <x:c r="B45" s="18" t="n">
        <x:v>15</x:v>
      </x:c>
      <x:c r="C45" s="18" t="n">
        <x:v>12</x:v>
      </x:c>
      <x:c r="D45" s="18" t="n">
        <x:v>2</x:v>
      </x:c>
      <x:c r="E45" s="18" t="n">
        <x:v>0</x:v>
      </x:c>
      <x:c r="F45" s="18" t="n">
        <x:f>SUM(B45:E45)</x:f>
        <x:v>29</x:v>
      </x:c>
      <x:c r="G45" s="18" t="n">
        <x:v>0</x:v>
      </x:c>
      <x:c r="H45" s="18" t="n">
        <x:v>5</x:v>
      </x:c>
      <x:c r="I45" s="18" t="n">
        <x:v>3</x:v>
      </x:c>
      <x:c r="J45" s="18" t="n">
        <x:v>5</x:v>
      </x:c>
      <x:c r="K45" s="18" t="n">
        <x:v>1</x:v>
      </x:c>
      <x:c r="L45" s="18" t="n">
        <x:v>0</x:v>
      </x:c>
      <x:c r="M45" s="18" t="n">
        <x:f>SUM(G45:L45)</x:f>
        <x:v>14</x:v>
      </x:c>
      <x:c r="N45" s="18" t="n">
        <x:f>F45+M45</x:f>
        <x:v>43</x:v>
      </x:c>
    </x:row>
    <x:row r="46">
      <x:c r="A46" s="22" t="str">
        <x:v>AHMED-AMIRA</x:v>
      </x:c>
      <x:c r="B46" s="18" t="n">
        <x:v>15</x:v>
      </x:c>
      <x:c r="C46" s="18" t="n">
        <x:v>4</x:v>
      </x:c>
      <x:c r="D46" s="18" t="n">
        <x:v>3</x:v>
      </x:c>
      <x:c r="E46" s="18" t="n">
        <x:v>0</x:v>
      </x:c>
      <x:c r="F46" s="18" t="n">
        <x:f>SUM(B46:E46)</x:f>
        <x:v>22</x:v>
      </x:c>
      <x:c r="G46" s="18" t="n">
        <x:v>0</x:v>
      </x:c>
      <x:c r="H46" s="18" t="n">
        <x:v>0</x:v>
      </x:c>
      <x:c r="I46" s="18" t="n">
        <x:v>3</x:v>
      </x:c>
      <x:c r="J46" s="18" t="n">
        <x:v>2</x:v>
      </x:c>
      <x:c r="K46" s="18" t="n">
        <x:v>0</x:v>
      </x:c>
      <x:c r="L46" s="18" t="n">
        <x:v>0</x:v>
      </x:c>
      <x:c r="M46" s="18" t="n">
        <x:f>SUM(G46:L46)</x:f>
        <x:v>5</x:v>
      </x:c>
      <x:c r="N46" s="18" t="n">
        <x:f>F46+M46</x:f>
        <x:v>27</x:v>
      </x:c>
    </x:row>
    <x:row r="47">
      <x:c r="A47" s="22" t="str">
        <x:v>MALIK-JAMIL</x:v>
      </x:c>
      <x:c r="B47" s="18" t="n">
        <x:v>15</x:v>
      </x:c>
      <x:c r="C47" s="18" t="n">
        <x:v>13</x:v>
      </x:c>
      <x:c r="D47" s="18" t="n">
        <x:v>3</x:v>
      </x:c>
      <x:c r="E47" s="18" t="n">
        <x:v>3</x:v>
      </x:c>
      <x:c r="F47" s="18" t="n">
        <x:f>SUM(B47:E47)</x:f>
        <x:v>34</x:v>
      </x:c>
      <x:c r="G47" s="18" t="n">
        <x:v>5</x:v>
      </x:c>
      <x:c r="H47" s="18" t="n">
        <x:v>0</x:v>
      </x:c>
      <x:c r="I47" s="18" t="n">
        <x:v>4</x:v>
      </x:c>
      <x:c r="J47" s="18" t="n">
        <x:v>1</x:v>
      </x:c>
      <x:c r="K47" s="18" t="n">
        <x:v>0</x:v>
      </x:c>
      <x:c r="L47" s="18" t="n">
        <x:v>2</x:v>
      </x:c>
      <x:c r="M47" s="18" t="n">
        <x:f>SUM(G47:L47)</x:f>
        <x:v>12</x:v>
      </x:c>
      <x:c r="N47" s="18" t="n">
        <x:f>F47+M47</x:f>
        <x:v>46</x:v>
      </x:c>
    </x:row>
    <x:row r="48">
      <x:c r="A48" s="22" t="str">
        <x:v>SALIM-JALAL</x:v>
      </x:c>
      <x:c r="B48" s="18" t="n">
        <x:v>15</x:v>
      </x:c>
      <x:c r="C48" s="18" t="n">
        <x:v>4</x:v>
      </x:c>
      <x:c r="D48" s="18" t="n">
        <x:v>3</x:v>
      </x:c>
      <x:c r="E48" s="18" t="n">
        <x:v>3</x:v>
      </x:c>
      <x:c r="F48" s="18" t="n">
        <x:f>SUM(B48:E48)</x:f>
        <x:v>25</x:v>
      </x:c>
      <x:c r="G48" s="18" t="n">
        <x:v>10</x:v>
      </x:c>
      <x:c r="H48" s="18" t="n">
        <x:v>0</x:v>
      </x:c>
      <x:c r="I48" s="18" t="n">
        <x:v>0</x:v>
      </x:c>
      <x:c r="J48" s="18" t="n">
        <x:v>0</x:v>
      </x:c>
      <x:c r="K48" s="18" t="n">
        <x:v>0</x:v>
      </x:c>
      <x:c r="L48" s="18" t="n">
        <x:v>0</x:v>
      </x:c>
      <x:c r="M48" s="18" t="n">
        <x:f>SUM(G48:L48)</x:f>
        <x:v>10</x:v>
      </x:c>
      <x:c r="N48" s="18" t="n">
        <x:f>F48+M48</x:f>
        <x:v>35</x:v>
      </x:c>
    </x:row>
    <x:row r="49">
      <x:c r="A49" s="22" t="str">
        <x:v>HAMDAN-MERSHA</x:v>
      </x:c>
      <x:c r="B49" s="18" t="n">
        <x:v>15</x:v>
      </x:c>
      <x:c r="C49" s="18" t="n">
        <x:v>4</x:v>
      </x:c>
      <x:c r="D49" s="18" t="n">
        <x:v>1</x:v>
      </x:c>
      <x:c r="E49" s="18" t="n">
        <x:v>3</x:v>
      </x:c>
      <x:c r="F49" s="18" t="n">
        <x:f>SUM(B49:E49)</x:f>
        <x:v>23</x:v>
      </x:c>
      <x:c r="G49" s="18" t="n">
        <x:v>0</x:v>
      </x:c>
      <x:c r="H49" s="18" t="n">
        <x:v>5</x:v>
      </x:c>
      <x:c r="I49" s="18" t="n">
        <x:v>0</x:v>
      </x:c>
      <x:c r="J49" s="18" t="n">
        <x:v>5</x:v>
      </x:c>
      <x:c r="K49" s="18" t="n">
        <x:v>0</x:v>
      </x:c>
      <x:c r="L49" s="18" t="n">
        <x:v>0</x:v>
      </x:c>
      <x:c r="M49" s="18" t="n">
        <x:f>SUM(G49:L49)</x:f>
        <x:v>10</x:v>
      </x:c>
      <x:c r="N49" s="18" t="n">
        <x:f>F49+M49</x:f>
        <x:v>33</x:v>
      </x:c>
    </x:row>
    <x:row r="50">
      <x:c r="A50" s="22" t="str">
        <x:v>KARIM-GHADA</x:v>
      </x:c>
      <x:c r="B50" s="18" t="n">
        <x:v>15</x:v>
      </x:c>
      <x:c r="C50" s="18" t="n">
        <x:v>1</x:v>
      </x:c>
      <x:c r="D50" s="18" t="n">
        <x:v>3</x:v>
      </x:c>
      <x:c r="E50" s="18" t="n">
        <x:v>3</x:v>
      </x:c>
      <x:c r="F50" s="18" t="n">
        <x:f>SUM(B50:E50)</x:f>
        <x:v>22</x:v>
      </x:c>
      <x:c r="G50" s="18" t="n">
        <x:v>10</x:v>
      </x:c>
      <x:c r="H50" s="18" t="n">
        <x:v>0</x:v>
      </x:c>
      <x:c r="I50" s="18" t="n">
        <x:v>10</x:v>
      </x:c>
      <x:c r="J50" s="18" t="n">
        <x:v>1</x:v>
      </x:c>
      <x:c r="K50" s="18" t="n">
        <x:v>0</x:v>
      </x:c>
      <x:c r="L50" s="18" t="n">
        <x:v>0</x:v>
      </x:c>
      <x:c r="M50" s="18" t="n">
        <x:f>SUM(G50:L50)</x:f>
        <x:v>21</x:v>
      </x:c>
      <x:c r="N50" s="18" t="n">
        <x:f>F50+M50</x:f>
        <x:v>43</x:v>
      </x:c>
    </x:row>
    <x:row r="51">
      <x:c r="A51" s="22" t="str">
        <x:v>AHMAD-NOUR</x:v>
      </x:c>
      <x:c r="B51" s="18" t="n">
        <x:v>15</x:v>
      </x:c>
      <x:c r="C51" s="18" t="n">
        <x:v>8</x:v>
      </x:c>
      <x:c r="D51" s="18" t="n">
        <x:v>2</x:v>
      </x:c>
      <x:c r="E51" s="18" t="n">
        <x:v>3</x:v>
      </x:c>
      <x:c r="F51" s="18" t="n">
        <x:f>SUM(B51:E51)</x:f>
        <x:v>28</x:v>
      </x:c>
      <x:c r="G51" s="18" t="n">
        <x:v>0</x:v>
      </x:c>
      <x:c r="H51" s="18" t="n">
        <x:v>5</x:v>
      </x:c>
      <x:c r="I51" s="18" t="n">
        <x:v>0</x:v>
      </x:c>
      <x:c r="J51" s="18" t="n">
        <x:v>4</x:v>
      </x:c>
      <x:c r="K51" s="18" t="n">
        <x:v>0</x:v>
      </x:c>
      <x:c r="L51" s="18" t="n">
        <x:v>0</x:v>
      </x:c>
      <x:c r="M51" s="18" t="n">
        <x:f>SUM(G51:L51)</x:f>
        <x:v>9</x:v>
      </x:c>
      <x:c r="N51" s="18" t="n">
        <x:f>F51+M51</x:f>
        <x:v>37</x:v>
      </x:c>
    </x:row>
    <x:row r="52">
      <x:c r="A52" s="22" t="str">
        <x:v>AWAD-HANA</x:v>
      </x:c>
      <x:c r="B52" s="18" t="n">
        <x:v>15</x:v>
      </x:c>
      <x:c r="C52" s="18" t="n">
        <x:v>16</x:v>
      </x:c>
      <x:c r="D52" s="18" t="n">
        <x:v>0</x:v>
      </x:c>
      <x:c r="E52" s="18" t="n">
        <x:v>0</x:v>
      </x:c>
      <x:c r="F52" s="18" t="n">
        <x:f>SUM(B52:E52)</x:f>
        <x:v>31</x:v>
      </x:c>
      <x:c r="G52" s="18" t="n">
        <x:v>10</x:v>
      </x:c>
      <x:c r="H52" s="18" t="n">
        <x:v>0</x:v>
      </x:c>
      <x:c r="I52" s="18" t="n">
        <x:v>0</x:v>
      </x:c>
      <x:c r="J52" s="18" t="n">
        <x:v>3</x:v>
      </x:c>
      <x:c r="K52" s="18" t="n">
        <x:v>1</x:v>
      </x:c>
      <x:c r="L52" s="18" t="n">
        <x:v>2</x:v>
      </x:c>
      <x:c r="M52" s="18" t="n">
        <x:f>SUM(G52:L52)</x:f>
        <x:v>16</x:v>
      </x:c>
      <x:c r="N52" s="18" t="n">
        <x:f>F52+M52</x:f>
        <x:v>47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</x:cols>
  <x:sheetData>
    <x:row r="1">
      <x:c r="A1" s="4" t="str">
        <x:v>Riepilogo punteggi</x:v>
      </x:c>
      <x:c r="B1" s="4" t="str"/>
    </x:row>
    <x:row r="2">
      <x:c r="A2" t="str">
        <x:v>Numero candidati</x:v>
      </x:c>
      <x:c r="B2" t="n">
        <x:v>50</x:v>
      </x:c>
    </x:row>
    <x:row r="3">
      <x:c r="A3" t="str">
        <x:v>TOT minimo</x:v>
      </x:c>
      <x:c r="B3" t="n">
        <x:f>MIN(Candidati!N3:N52)</x:f>
        <x:v>25</x:v>
      </x:c>
    </x:row>
    <x:row r="4">
      <x:c r="A4" t="str">
        <x:v>TOT massimo</x:v>
      </x:c>
      <x:c r="B4" t="n">
        <x:f>MAX(Candidati!N3:N52)</x:f>
        <x:v>52</x:v>
      </x:c>
    </x:row>
    <x:row r="5">
      <x:c r="A5" t="str">
        <x:v>TOT medio</x:v>
      </x:c>
      <x:c r="B5" t="n">
        <x:f>AVERAGE(Candidati!N3:N52)</x:f>
        <x:v>38.92</x:v>
      </x:c>
    </x:row>
    <x:row r="6">
      <x:c r="A6" t="str">
        <x:v>Titoli medio</x:v>
      </x:c>
      <x:c r="B6" t="n">
        <x:f>AVERAGE(Candidati!F3:F52)</x:f>
        <x:v>26.4</x:v>
      </x:c>
    </x:row>
    <x:row r="7">
      <x:c r="A7" t="str">
        <x:v>CV medio</x:v>
      </x:c>
      <x:c r="B7" t="n">
        <x:f>AVERAGE(Candidati!M3:M52)</x:f>
        <x:v>12.52</x:v>
      </x:c>
    </x:row>
    <x:row r="8">
      <x:c r="A8" t="str">
        <x:v>Vincolo TOT</x:v>
      </x:c>
      <x:c r="B8" t="str">
        <x:v>25–55</x:v>
      </x:c>
    </x:row>
  </x:sheetData>
  <x:pageMargins left="0.7" right="0.7" top="0.75" bottom="0.75" header="0.3" footer="0.3"/>
</x:worksheet>
</file>